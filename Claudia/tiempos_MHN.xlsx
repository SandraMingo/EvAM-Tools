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ud_rjfw4ak\Documents\GitHub\EvAM-Tools\Claudia\"/>
    </mc:Choice>
  </mc:AlternateContent>
  <xr:revisionPtr revIDLastSave="0" documentId="13_ncr:1_{88E24DFF-46BF-4F6A-8B8B-AE7E8F92EF75}" xr6:coauthVersionLast="47" xr6:coauthVersionMax="47" xr10:uidLastSave="{00000000-0000-0000-0000-000000000000}"/>
  <bookViews>
    <workbookView xWindow="-98" yWindow="-98" windowWidth="21795" windowHeight="12975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10" i="1"/>
  <c r="H10" i="1"/>
  <c r="P21" i="1"/>
  <c r="X25" i="1"/>
  <c r="X24" i="1"/>
  <c r="X22" i="1"/>
  <c r="X21" i="1"/>
  <c r="X20" i="1"/>
  <c r="X18" i="1"/>
  <c r="X17" i="1"/>
  <c r="X16" i="1"/>
  <c r="X15" i="1"/>
  <c r="X14" i="1"/>
  <c r="X13" i="1"/>
  <c r="X12" i="1"/>
  <c r="X11" i="1"/>
  <c r="X9" i="1"/>
  <c r="X8" i="1"/>
  <c r="X7" i="1"/>
  <c r="X6" i="1"/>
  <c r="X5" i="1"/>
  <c r="X4" i="1"/>
  <c r="P24" i="1"/>
  <c r="P25" i="1"/>
  <c r="P22" i="1"/>
  <c r="P20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H21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20" i="1"/>
  <c r="H22" i="1"/>
  <c r="H24" i="1"/>
  <c r="H25" i="1"/>
  <c r="H3" i="1"/>
</calcChain>
</file>

<file path=xl/sharedStrings.xml><?xml version="1.0" encoding="utf-8"?>
<sst xmlns="http://schemas.openxmlformats.org/spreadsheetml/2006/main" count="179" uniqueCount="48">
  <si>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</si>
  <si>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</si>
  <si>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</si>
  <si>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</si>
  <si>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</si>
  <si>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</si>
  <si>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</si>
  <si>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</si>
  <si>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</si>
  <si>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</si>
  <si>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</si>
  <si>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</si>
  <si>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</si>
  <si>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</si>
  <si>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</si>
  <si>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</si>
  <si>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</si>
  <si>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</si>
  <si>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</si>
  <si>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</si>
  <si>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</si>
  <si>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</si>
  <si>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</si>
  <si>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</si>
  <si>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</si>
  <si>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</si>
  <si>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</si>
  <si>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</si>
  <si>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</si>
  <si>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</si>
  <si>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</si>
  <si>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</si>
  <si>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</si>
  <si>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</si>
  <si>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</si>
  <si>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</si>
  <si>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</si>
  <si>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</si>
  <si>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</si>
  <si>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</si>
  <si>
    <t>Tania2</t>
  </si>
  <si>
    <t>1m 30,2s</t>
  </si>
  <si>
    <t>1m 31,8s</t>
  </si>
  <si>
    <t>6,6s</t>
  </si>
  <si>
    <t>6,8s</t>
  </si>
  <si>
    <t>eror</t>
  </si>
  <si>
    <t>error</t>
  </si>
  <si>
    <t>Claudia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</si>
</sst>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X27"/>
  <sheetViews>
    <sheetView tabSelected="1" zoomScale="105" zoomScaleNormal="80" workbookViewId="0">
      <selection activeCell="B10" sqref="B10"/>
    </sheetView>
  </sheetViews>
  <sheetFormatPr baseColWidth="10" defaultRowHeight="14.25" x14ac:dyDescent="0.45"/>
  <cols>
    <col min="1" max="1" width="49" customWidth="1"/>
    <col min="2" max="5" width="10.6640625" style="1"/>
    <col min="6" max="6" width="11.53125" style="1"/>
    <col min="7" max="7" width="10.6640625" style="1"/>
    <col min="8" max="8" width="12.53125" customWidth="1"/>
    <col min="11" max="11" width="39.19921875" customWidth="1"/>
    <col min="15" max="15" width="9.53125" customWidth="1"/>
    <col min="16" max="16" width="12.46484375" customWidth="1"/>
    <col min="19" max="19" width="39.46484375" customWidth="1"/>
    <col min="24" max="24" width="25.46484375" customWidth="1"/>
  </cols>
  <sheetData>
    <row r="1" spans="1:24" ht="18" x14ac:dyDescent="0.55000000000000004">
      <c r="A1" s="8" t="s">
        <v>21</v>
      </c>
      <c r="B1" s="8"/>
      <c r="C1" s="8"/>
      <c r="D1" s="8"/>
      <c r="E1" s="8"/>
      <c r="F1" s="8"/>
      <c r="G1" s="8"/>
      <c r="H1" s="8"/>
      <c r="K1" s="8" t="s">
        <v>27</v>
      </c>
      <c r="L1" s="8"/>
      <c r="M1" s="8"/>
      <c r="N1" s="8"/>
      <c r="O1" s="8"/>
      <c r="P1" s="8"/>
      <c r="S1" s="8" t="s">
        <v>28</v>
      </c>
      <c r="T1" s="8"/>
      <c r="U1" s="8"/>
      <c r="V1" s="8"/>
      <c r="W1" s="8"/>
      <c r="X1" s="8"/>
    </row>
    <row r="2" spans="1:24" x14ac:dyDescent="0.45">
      <c r="A2" s="1"/>
      <c r="B2" s="1" t="s">
        <v>0</v>
      </c>
      <c r="C2" s="1" t="s">
        <v>47</v>
      </c>
      <c r="D2" s="1" t="s">
        <v>1</v>
      </c>
      <c r="E2" s="1" t="s">
        <v>2</v>
      </c>
      <c r="F2" s="1" t="s">
        <v>40</v>
      </c>
      <c r="G2" s="1" t="s">
        <v>3</v>
      </c>
      <c r="H2" s="1" t="s">
        <v>4</v>
      </c>
      <c r="K2" s="1"/>
      <c r="L2" s="1" t="s">
        <v>0</v>
      </c>
      <c r="M2" s="1" t="s">
        <v>1</v>
      </c>
      <c r="N2" s="1" t="s">
        <v>2</v>
      </c>
      <c r="O2" s="1" t="s">
        <v>3</v>
      </c>
      <c r="P2" s="1" t="s">
        <v>4</v>
      </c>
      <c r="S2" s="1"/>
      <c r="T2" s="1" t="s">
        <v>0</v>
      </c>
      <c r="U2" s="1" t="s">
        <v>1</v>
      </c>
      <c r="V2" s="1" t="s">
        <v>2</v>
      </c>
      <c r="W2" s="1" t="s">
        <v>3</v>
      </c>
      <c r="X2" s="1" t="s">
        <v>4</v>
      </c>
    </row>
    <row r="3" spans="1:24" x14ac:dyDescent="0.45">
      <c r="A3" s="4" t="s">
        <v>5</v>
      </c>
      <c r="B3" s="2">
        <v>1.2190000000000001</v>
      </c>
      <c r="C3" s="1">
        <v>1.7190000000000001</v>
      </c>
      <c r="D3" s="1">
        <v>0.23200000000000001</v>
      </c>
      <c r="E3" s="7" t="s">
        <v>39</v>
      </c>
      <c r="F3" s="7">
        <v>0.13300000000000001</v>
      </c>
      <c r="G3" s="1">
        <v>0.33100000000000002</v>
      </c>
      <c r="H3" s="3">
        <f>SUM(B3:G3)/4</f>
        <v>0.90850000000000009</v>
      </c>
      <c r="K3" s="4" t="s">
        <v>5</v>
      </c>
      <c r="L3" s="3">
        <v>52.161999999999999</v>
      </c>
      <c r="M3" s="1">
        <v>28.253</v>
      </c>
      <c r="N3" s="1">
        <v>27.565999999999999</v>
      </c>
      <c r="O3" s="1">
        <v>50.872</v>
      </c>
      <c r="P3" s="3">
        <f>SUM(L3:O3)/4</f>
        <v>39.713250000000002</v>
      </c>
      <c r="S3" s="4" t="s">
        <v>5</v>
      </c>
      <c r="T3" s="3">
        <v>69.486000000000004</v>
      </c>
      <c r="U3" s="1">
        <v>36.085999999999999</v>
      </c>
      <c r="V3" s="1">
        <v>29.390999999999998</v>
      </c>
      <c r="W3" s="1">
        <v>53.48</v>
      </c>
      <c r="X3" s="3">
        <f>SUM(T3:W3)/4</f>
        <v>47.110749999999996</v>
      </c>
    </row>
    <row r="4" spans="1:24" x14ac:dyDescent="0.45">
      <c r="A4" s="4" t="s">
        <v>6</v>
      </c>
      <c r="B4" s="1">
        <v>0.122</v>
      </c>
      <c r="C4" s="1">
        <v>8.8999999999999996E-2</v>
      </c>
      <c r="D4" s="1">
        <v>0.129</v>
      </c>
      <c r="E4" s="1">
        <v>7.8E-2</v>
      </c>
      <c r="F4" s="7">
        <v>7.8E-2</v>
      </c>
      <c r="G4" s="1">
        <v>0.13600000000000001</v>
      </c>
      <c r="H4" s="3">
        <f t="shared" ref="H4:H22" si="0">SUM(B4:G4)/4</f>
        <v>0.158</v>
      </c>
      <c r="K4" s="4" t="s">
        <v>6</v>
      </c>
      <c r="L4" s="3">
        <v>25.722000000000001</v>
      </c>
      <c r="M4" s="1">
        <v>28.49</v>
      </c>
      <c r="N4" s="1">
        <v>26.187999999999999</v>
      </c>
      <c r="O4" s="1">
        <v>57.512999999999998</v>
      </c>
      <c r="P4" s="3">
        <f t="shared" ref="P4:P18" si="1">SUM(L4:O4)/4</f>
        <v>34.478250000000003</v>
      </c>
      <c r="S4" s="4" t="s">
        <v>6</v>
      </c>
      <c r="T4" s="3">
        <v>27.157</v>
      </c>
      <c r="U4" s="1">
        <v>30.312999999999999</v>
      </c>
      <c r="V4" s="1">
        <v>29.084</v>
      </c>
      <c r="W4" s="1">
        <v>53.237000000000002</v>
      </c>
      <c r="X4" s="3">
        <f t="shared" ref="X4:X18" si="2">SUM(T4:W4)/4</f>
        <v>34.947749999999999</v>
      </c>
    </row>
    <row r="5" spans="1:24" x14ac:dyDescent="0.45">
      <c r="A5" s="5" t="s">
        <v>7</v>
      </c>
      <c r="B5" s="1">
        <v>5.6000000000000001E-2</v>
      </c>
      <c r="C5" s="1">
        <v>7.2999999999999995E-2</v>
      </c>
      <c r="D5" s="1">
        <v>0.111</v>
      </c>
      <c r="E5" s="1">
        <v>0.10299999999999999</v>
      </c>
      <c r="F5" s="7">
        <v>0.08</v>
      </c>
      <c r="G5" s="1">
        <v>0.14599999999999999</v>
      </c>
      <c r="H5" s="3">
        <f t="shared" si="0"/>
        <v>0.14224999999999999</v>
      </c>
      <c r="K5" s="5" t="s">
        <v>7</v>
      </c>
      <c r="L5" s="3">
        <v>24.885999999999999</v>
      </c>
      <c r="M5" s="1">
        <v>26.934000000000001</v>
      </c>
      <c r="N5" s="1">
        <v>25.855</v>
      </c>
      <c r="O5" s="1">
        <v>49.798000000000002</v>
      </c>
      <c r="P5" s="3">
        <f t="shared" si="1"/>
        <v>31.86825</v>
      </c>
      <c r="S5" s="5" t="s">
        <v>7</v>
      </c>
      <c r="T5" s="3">
        <v>25.812000000000001</v>
      </c>
      <c r="U5" s="1">
        <v>30.536999999999999</v>
      </c>
      <c r="V5" s="1">
        <v>28.683</v>
      </c>
      <c r="W5" s="1">
        <v>54.34</v>
      </c>
      <c r="X5" s="3">
        <f t="shared" si="2"/>
        <v>34.843000000000004</v>
      </c>
    </row>
    <row r="6" spans="1:24" x14ac:dyDescent="0.45">
      <c r="A6" s="5" t="s">
        <v>8</v>
      </c>
      <c r="B6" s="1">
        <v>7.1999999999999995E-2</v>
      </c>
      <c r="C6" s="1">
        <v>0.13900000000000001</v>
      </c>
      <c r="D6" s="1">
        <v>9.9000000000000005E-2</v>
      </c>
      <c r="E6" s="1">
        <v>0.104</v>
      </c>
      <c r="F6" s="7">
        <v>7.9000000000000001E-2</v>
      </c>
      <c r="G6" s="1">
        <v>0.188</v>
      </c>
      <c r="H6" s="3">
        <f t="shared" si="0"/>
        <v>0.17025000000000001</v>
      </c>
      <c r="K6" s="5" t="s">
        <v>8</v>
      </c>
      <c r="L6" s="3">
        <v>21.838999999999999</v>
      </c>
      <c r="M6" s="1">
        <v>27.312999999999999</v>
      </c>
      <c r="N6" s="1">
        <v>25.954999999999998</v>
      </c>
      <c r="O6" s="1">
        <v>49.689</v>
      </c>
      <c r="P6" s="3">
        <f t="shared" si="1"/>
        <v>31.198999999999998</v>
      </c>
      <c r="S6" s="5" t="s">
        <v>8</v>
      </c>
      <c r="T6" s="3">
        <v>24.166</v>
      </c>
      <c r="U6" s="1">
        <v>30.887</v>
      </c>
      <c r="V6" s="1">
        <v>29.152999999999999</v>
      </c>
      <c r="W6" s="1">
        <v>49.844999999999999</v>
      </c>
      <c r="X6" s="3">
        <f t="shared" si="2"/>
        <v>33.512749999999997</v>
      </c>
    </row>
    <row r="7" spans="1:24" x14ac:dyDescent="0.45">
      <c r="A7" s="5" t="s">
        <v>9</v>
      </c>
      <c r="B7" s="1">
        <v>7.9000000000000001E-2</v>
      </c>
      <c r="C7" s="1">
        <v>0.14299999999999999</v>
      </c>
      <c r="D7" s="1">
        <v>0.08</v>
      </c>
      <c r="E7" s="1">
        <v>0.10199999999999999</v>
      </c>
      <c r="F7" s="7">
        <v>7.8E-2</v>
      </c>
      <c r="G7" s="1">
        <v>0.28299999999999997</v>
      </c>
      <c r="H7" s="3">
        <f t="shared" si="0"/>
        <v>0.19124999999999998</v>
      </c>
      <c r="K7" s="5" t="s">
        <v>9</v>
      </c>
      <c r="L7" s="3">
        <v>23.576000000000001</v>
      </c>
      <c r="M7" s="1">
        <v>28.965</v>
      </c>
      <c r="N7" s="1">
        <v>26.248999999999999</v>
      </c>
      <c r="O7" s="1">
        <v>52.228999999999999</v>
      </c>
      <c r="P7" s="3">
        <f t="shared" si="1"/>
        <v>32.754750000000001</v>
      </c>
      <c r="S7" s="5" t="s">
        <v>9</v>
      </c>
      <c r="T7" s="3">
        <v>26.861000000000001</v>
      </c>
      <c r="U7" s="1">
        <v>29.256</v>
      </c>
      <c r="V7" s="1">
        <v>28.853999999999999</v>
      </c>
      <c r="W7" s="1">
        <v>59.316000000000003</v>
      </c>
      <c r="X7" s="3">
        <f t="shared" si="2"/>
        <v>36.071750000000002</v>
      </c>
    </row>
    <row r="8" spans="1:24" x14ac:dyDescent="0.45">
      <c r="A8" s="5" t="s">
        <v>10</v>
      </c>
      <c r="B8" s="1">
        <v>0.105</v>
      </c>
      <c r="C8" s="1">
        <v>0.08</v>
      </c>
      <c r="D8" s="1">
        <v>8.5999999999999993E-2</v>
      </c>
      <c r="E8" s="1">
        <v>0.106</v>
      </c>
      <c r="F8" s="7">
        <v>7.9000000000000001E-2</v>
      </c>
      <c r="G8" s="1">
        <v>0.17799999999999999</v>
      </c>
      <c r="H8" s="3">
        <f t="shared" si="0"/>
        <v>0.1585</v>
      </c>
      <c r="K8" s="5" t="s">
        <v>10</v>
      </c>
      <c r="L8" s="3">
        <v>20.138999999999999</v>
      </c>
      <c r="M8" s="1">
        <v>26.577000000000002</v>
      </c>
      <c r="N8" s="1">
        <v>26.12</v>
      </c>
      <c r="O8" s="1">
        <v>51.777000000000001</v>
      </c>
      <c r="P8" s="3">
        <f t="shared" si="1"/>
        <v>31.15325</v>
      </c>
      <c r="S8" s="5" t="s">
        <v>10</v>
      </c>
      <c r="T8" s="3">
        <v>26.922999999999998</v>
      </c>
      <c r="U8" s="1">
        <v>32.151000000000003</v>
      </c>
      <c r="V8" s="2">
        <v>29.327999999999999</v>
      </c>
      <c r="W8" s="1">
        <v>61.362000000000002</v>
      </c>
      <c r="X8" s="3">
        <f t="shared" si="2"/>
        <v>37.441000000000003</v>
      </c>
    </row>
    <row r="9" spans="1:24" x14ac:dyDescent="0.45">
      <c r="A9" s="5" t="s">
        <v>11</v>
      </c>
      <c r="B9" s="1">
        <v>0.10100000000000001</v>
      </c>
      <c r="C9" s="1">
        <v>8.7999999999999995E-2</v>
      </c>
      <c r="D9" s="1">
        <v>9.2999999999999999E-2</v>
      </c>
      <c r="E9" s="1">
        <v>7.8E-2</v>
      </c>
      <c r="F9" s="7">
        <v>7.8E-2</v>
      </c>
      <c r="G9" s="1">
        <v>0.35299999999999998</v>
      </c>
      <c r="H9" s="3">
        <f t="shared" si="0"/>
        <v>0.19775000000000001</v>
      </c>
      <c r="K9" s="5" t="s">
        <v>11</v>
      </c>
      <c r="L9" s="3">
        <v>25.446000000000002</v>
      </c>
      <c r="M9" s="1">
        <v>26.625</v>
      </c>
      <c r="N9" s="1">
        <v>26.445</v>
      </c>
      <c r="O9" s="1">
        <v>52.207999999999998</v>
      </c>
      <c r="P9" s="3">
        <f t="shared" si="1"/>
        <v>32.680999999999997</v>
      </c>
      <c r="S9" s="5" t="s">
        <v>11</v>
      </c>
      <c r="T9" s="3">
        <v>27.869</v>
      </c>
      <c r="U9" s="1">
        <v>39.572000000000003</v>
      </c>
      <c r="V9" s="1">
        <v>29.405000000000001</v>
      </c>
      <c r="W9" s="1">
        <v>48.871000000000002</v>
      </c>
      <c r="X9" s="3">
        <f t="shared" si="2"/>
        <v>36.429250000000003</v>
      </c>
    </row>
    <row r="10" spans="1:24" x14ac:dyDescent="0.45">
      <c r="A10" s="5" t="s">
        <v>12</v>
      </c>
      <c r="B10" s="1">
        <v>6.7000000000000004E-2</v>
      </c>
      <c r="C10" s="1">
        <v>9.4E-2</v>
      </c>
      <c r="D10" s="1">
        <v>7.3999999999999996E-2</v>
      </c>
      <c r="E10" s="1">
        <v>7.5999999999999998E-2</v>
      </c>
      <c r="F10" s="7">
        <v>7.6999999999999999E-2</v>
      </c>
      <c r="G10" s="1" t="s">
        <v>29</v>
      </c>
      <c r="H10" s="3">
        <f t="shared" si="0"/>
        <v>9.7000000000000003E-2</v>
      </c>
      <c r="K10" s="5" t="s">
        <v>12</v>
      </c>
      <c r="L10" s="3">
        <v>24.556999999999999</v>
      </c>
      <c r="M10" s="1">
        <v>27.991</v>
      </c>
      <c r="N10" s="1">
        <v>26.791</v>
      </c>
      <c r="O10" s="1" t="s">
        <v>29</v>
      </c>
      <c r="P10" s="3">
        <f t="shared" si="1"/>
        <v>19.83475</v>
      </c>
      <c r="S10" s="5" t="s">
        <v>12</v>
      </c>
      <c r="T10" s="3">
        <v>27.632000000000001</v>
      </c>
      <c r="U10" s="1">
        <v>31.692</v>
      </c>
      <c r="V10" s="1">
        <v>29.510999999999999</v>
      </c>
      <c r="W10" s="1" t="s">
        <v>29</v>
      </c>
      <c r="X10" s="3">
        <f t="shared" si="2"/>
        <v>22.208749999999998</v>
      </c>
    </row>
    <row r="11" spans="1:24" x14ac:dyDescent="0.45">
      <c r="A11" s="5" t="s">
        <v>13</v>
      </c>
      <c r="B11" s="1">
        <v>0.115</v>
      </c>
      <c r="C11" s="1">
        <v>8.2000000000000003E-2</v>
      </c>
      <c r="D11" s="1" t="s">
        <v>29</v>
      </c>
      <c r="E11" s="1">
        <v>7.5999999999999998E-2</v>
      </c>
      <c r="F11" s="7">
        <v>7.6999999999999999E-2</v>
      </c>
      <c r="G11" s="1" t="s">
        <v>29</v>
      </c>
      <c r="H11" s="3">
        <f t="shared" si="0"/>
        <v>8.7500000000000008E-2</v>
      </c>
      <c r="K11" s="5" t="s">
        <v>13</v>
      </c>
      <c r="L11" s="3">
        <v>24.481000000000002</v>
      </c>
      <c r="M11" s="1" t="s">
        <v>29</v>
      </c>
      <c r="N11" s="1">
        <v>26.545000000000002</v>
      </c>
      <c r="O11" s="1" t="s">
        <v>29</v>
      </c>
      <c r="P11" s="3">
        <f>SUM(L11:O11)/4</f>
        <v>12.756500000000001</v>
      </c>
      <c r="S11" s="5" t="s">
        <v>13</v>
      </c>
      <c r="T11" s="3">
        <v>28.274000000000001</v>
      </c>
      <c r="U11" s="1" t="s">
        <v>29</v>
      </c>
      <c r="V11" s="1">
        <v>28.817</v>
      </c>
      <c r="W11" s="1" t="s">
        <v>29</v>
      </c>
      <c r="X11" s="3">
        <f t="shared" si="2"/>
        <v>14.27275</v>
      </c>
    </row>
    <row r="12" spans="1:24" x14ac:dyDescent="0.45">
      <c r="A12" s="5" t="s">
        <v>14</v>
      </c>
      <c r="B12" s="1">
        <v>7.2999999999999995E-2</v>
      </c>
      <c r="C12" s="1">
        <v>8.5999999999999993E-2</v>
      </c>
      <c r="D12" s="1" t="s">
        <v>29</v>
      </c>
      <c r="E12" s="1">
        <v>7.6999999999999999E-2</v>
      </c>
      <c r="F12" s="7">
        <v>7.6999999999999999E-2</v>
      </c>
      <c r="G12" s="1" t="s">
        <v>29</v>
      </c>
      <c r="H12" s="3">
        <f t="shared" si="0"/>
        <v>7.825E-2</v>
      </c>
      <c r="K12" s="5" t="s">
        <v>14</v>
      </c>
      <c r="L12" s="3">
        <v>25.128</v>
      </c>
      <c r="M12" s="1" t="s">
        <v>29</v>
      </c>
      <c r="N12" s="1">
        <v>26.625</v>
      </c>
      <c r="O12" s="1" t="s">
        <v>29</v>
      </c>
      <c r="P12" s="3">
        <f t="shared" si="1"/>
        <v>12.93825</v>
      </c>
      <c r="S12" s="5" t="s">
        <v>14</v>
      </c>
      <c r="T12" s="3">
        <v>25.454000000000001</v>
      </c>
      <c r="U12" s="1" t="s">
        <v>29</v>
      </c>
      <c r="V12" s="1">
        <v>28.76</v>
      </c>
      <c r="W12" s="1" t="s">
        <v>29</v>
      </c>
      <c r="X12" s="3">
        <f t="shared" si="2"/>
        <v>13.5535</v>
      </c>
    </row>
    <row r="13" spans="1:24" x14ac:dyDescent="0.45">
      <c r="A13" s="5" t="s">
        <v>15</v>
      </c>
      <c r="B13" s="1">
        <v>0.11600000000000001</v>
      </c>
      <c r="C13" s="1">
        <v>0.495</v>
      </c>
      <c r="D13" s="1" t="s">
        <v>29</v>
      </c>
      <c r="E13" s="1">
        <v>7.6999999999999999E-2</v>
      </c>
      <c r="F13" s="7">
        <v>7.9000000000000001E-2</v>
      </c>
      <c r="G13" s="1" t="s">
        <v>29</v>
      </c>
      <c r="H13" s="3">
        <f t="shared" si="0"/>
        <v>0.19174999999999998</v>
      </c>
      <c r="K13" s="5" t="s">
        <v>15</v>
      </c>
      <c r="L13" s="3">
        <v>23.295000000000002</v>
      </c>
      <c r="M13" s="1" t="s">
        <v>29</v>
      </c>
      <c r="N13" s="1">
        <v>26.059000000000001</v>
      </c>
      <c r="O13" s="1" t="s">
        <v>29</v>
      </c>
      <c r="P13" s="3">
        <f t="shared" si="1"/>
        <v>12.3385</v>
      </c>
      <c r="S13" s="5" t="s">
        <v>15</v>
      </c>
      <c r="T13" s="3">
        <v>28.919</v>
      </c>
      <c r="U13" s="1" t="s">
        <v>29</v>
      </c>
      <c r="V13" s="1">
        <v>28.920999999999999</v>
      </c>
      <c r="W13" s="1" t="s">
        <v>29</v>
      </c>
      <c r="X13" s="3">
        <f t="shared" si="2"/>
        <v>14.46</v>
      </c>
    </row>
    <row r="14" spans="1:24" x14ac:dyDescent="0.45">
      <c r="A14" s="5" t="s">
        <v>16</v>
      </c>
      <c r="B14" s="1">
        <v>0.11</v>
      </c>
      <c r="C14" s="1">
        <v>8.8999999999999996E-2</v>
      </c>
      <c r="D14" s="1" t="s">
        <v>29</v>
      </c>
      <c r="E14" s="1" t="s">
        <v>29</v>
      </c>
      <c r="F14" s="7">
        <v>7.9000000000000001E-2</v>
      </c>
      <c r="G14" s="1" t="s">
        <v>29</v>
      </c>
      <c r="H14" s="3">
        <f t="shared" si="0"/>
        <v>6.9500000000000006E-2</v>
      </c>
      <c r="K14" s="5" t="s">
        <v>16</v>
      </c>
      <c r="L14" s="3">
        <v>24.623999999999999</v>
      </c>
      <c r="M14" s="1" t="s">
        <v>29</v>
      </c>
      <c r="N14" s="1">
        <v>26.488</v>
      </c>
      <c r="O14" s="1" t="s">
        <v>29</v>
      </c>
      <c r="P14" s="3">
        <f t="shared" si="1"/>
        <v>12.777999999999999</v>
      </c>
      <c r="S14" s="5" t="s">
        <v>16</v>
      </c>
      <c r="T14" s="3">
        <v>28.507000000000001</v>
      </c>
      <c r="U14" s="1" t="s">
        <v>29</v>
      </c>
      <c r="V14" s="1">
        <v>29.167999999999999</v>
      </c>
      <c r="W14" s="1" t="s">
        <v>29</v>
      </c>
      <c r="X14" s="3">
        <f t="shared" si="2"/>
        <v>14.418749999999999</v>
      </c>
    </row>
    <row r="15" spans="1:24" x14ac:dyDescent="0.45">
      <c r="A15" s="5" t="s">
        <v>17</v>
      </c>
      <c r="B15" s="1">
        <v>0.112</v>
      </c>
      <c r="C15" s="1">
        <v>7.9000000000000001E-2</v>
      </c>
      <c r="D15" s="1" t="s">
        <v>29</v>
      </c>
      <c r="E15" s="1" t="s">
        <v>29</v>
      </c>
      <c r="F15" s="7" t="s">
        <v>29</v>
      </c>
      <c r="G15" s="1" t="s">
        <v>29</v>
      </c>
      <c r="H15" s="3">
        <f t="shared" si="0"/>
        <v>4.7750000000000001E-2</v>
      </c>
      <c r="K15" s="5" t="s">
        <v>17</v>
      </c>
      <c r="L15" s="3">
        <v>25.433</v>
      </c>
      <c r="M15" s="1" t="s">
        <v>29</v>
      </c>
      <c r="N15" s="1" t="s">
        <v>29</v>
      </c>
      <c r="O15" s="1" t="s">
        <v>29</v>
      </c>
      <c r="P15" s="3">
        <f t="shared" si="1"/>
        <v>6.35825</v>
      </c>
      <c r="S15" s="5" t="s">
        <v>17</v>
      </c>
      <c r="T15" s="3">
        <v>26.302</v>
      </c>
      <c r="U15" s="1" t="s">
        <v>29</v>
      </c>
      <c r="V15" s="1" t="s">
        <v>29</v>
      </c>
      <c r="W15" s="1" t="s">
        <v>29</v>
      </c>
      <c r="X15" s="3">
        <f t="shared" si="2"/>
        <v>6.5754999999999999</v>
      </c>
    </row>
    <row r="16" spans="1:24" x14ac:dyDescent="0.45">
      <c r="A16" s="5" t="s">
        <v>18</v>
      </c>
      <c r="B16" s="1">
        <v>0.12</v>
      </c>
      <c r="C16" s="1">
        <v>8.2000000000000003E-2</v>
      </c>
      <c r="D16" s="1" t="s">
        <v>29</v>
      </c>
      <c r="E16" s="1" t="s">
        <v>29</v>
      </c>
      <c r="F16" s="7" t="s">
        <v>29</v>
      </c>
      <c r="G16" s="1" t="s">
        <v>29</v>
      </c>
      <c r="H16" s="3">
        <f t="shared" si="0"/>
        <v>5.0500000000000003E-2</v>
      </c>
      <c r="K16" s="5" t="s">
        <v>18</v>
      </c>
      <c r="L16" s="3">
        <v>21.591999999999999</v>
      </c>
      <c r="M16" s="1" t="s">
        <v>29</v>
      </c>
      <c r="N16" s="1" t="s">
        <v>29</v>
      </c>
      <c r="O16" s="1" t="s">
        <v>29</v>
      </c>
      <c r="P16" s="3">
        <f t="shared" si="1"/>
        <v>5.3979999999999997</v>
      </c>
      <c r="S16" s="5" t="s">
        <v>18</v>
      </c>
      <c r="T16" s="3">
        <v>28.977</v>
      </c>
      <c r="U16" s="1" t="s">
        <v>29</v>
      </c>
      <c r="V16" s="1" t="s">
        <v>29</v>
      </c>
      <c r="W16" s="1" t="s">
        <v>29</v>
      </c>
      <c r="X16" s="3">
        <f t="shared" si="2"/>
        <v>7.2442500000000001</v>
      </c>
    </row>
    <row r="17" spans="1:24" x14ac:dyDescent="0.45">
      <c r="A17" s="5" t="s">
        <v>19</v>
      </c>
      <c r="B17" s="1">
        <v>7.0000000000000007E-2</v>
      </c>
      <c r="C17" s="1">
        <v>8.5999999999999993E-2</v>
      </c>
      <c r="D17" s="1" t="s">
        <v>29</v>
      </c>
      <c r="E17" s="1" t="s">
        <v>29</v>
      </c>
      <c r="F17" s="7" t="s">
        <v>29</v>
      </c>
      <c r="G17" s="1" t="s">
        <v>29</v>
      </c>
      <c r="H17" s="3">
        <f t="shared" si="0"/>
        <v>3.9E-2</v>
      </c>
      <c r="K17" s="5" t="s">
        <v>19</v>
      </c>
      <c r="L17" s="3">
        <v>21.614999999999998</v>
      </c>
      <c r="M17" s="1" t="s">
        <v>29</v>
      </c>
      <c r="N17" s="1" t="s">
        <v>29</v>
      </c>
      <c r="O17" s="1" t="s">
        <v>29</v>
      </c>
      <c r="P17" s="3">
        <f t="shared" si="1"/>
        <v>5.4037499999999996</v>
      </c>
      <c r="S17" s="5" t="s">
        <v>19</v>
      </c>
      <c r="T17" s="3">
        <v>27.704000000000001</v>
      </c>
      <c r="U17" s="1" t="s">
        <v>29</v>
      </c>
      <c r="V17" s="1" t="s">
        <v>29</v>
      </c>
      <c r="W17" s="1" t="s">
        <v>29</v>
      </c>
      <c r="X17" s="3">
        <f t="shared" si="2"/>
        <v>6.9260000000000002</v>
      </c>
    </row>
    <row r="18" spans="1:24" x14ac:dyDescent="0.45">
      <c r="A18" s="5" t="s">
        <v>20</v>
      </c>
      <c r="B18" s="1">
        <v>0.11600000000000001</v>
      </c>
      <c r="C18" s="1">
        <v>8.5000000000000006E-2</v>
      </c>
      <c r="D18" s="1" t="s">
        <v>29</v>
      </c>
      <c r="E18" s="1" t="s">
        <v>29</v>
      </c>
      <c r="F18" s="7" t="s">
        <v>29</v>
      </c>
      <c r="G18" s="1" t="s">
        <v>29</v>
      </c>
      <c r="H18" s="3">
        <f t="shared" si="0"/>
        <v>5.0250000000000003E-2</v>
      </c>
      <c r="K18" s="5" t="s">
        <v>20</v>
      </c>
      <c r="L18" s="3">
        <v>23.99</v>
      </c>
      <c r="M18" s="1" t="s">
        <v>29</v>
      </c>
      <c r="N18" s="1" t="s">
        <v>29</v>
      </c>
      <c r="O18" s="1" t="s">
        <v>29</v>
      </c>
      <c r="P18" s="3">
        <f t="shared" si="1"/>
        <v>5.9974999999999996</v>
      </c>
      <c r="S18" s="5" t="s">
        <v>20</v>
      </c>
      <c r="T18" s="3">
        <v>28.715</v>
      </c>
      <c r="U18" s="1" t="s">
        <v>29</v>
      </c>
      <c r="V18" s="1" t="s">
        <v>29</v>
      </c>
      <c r="W18" s="1" t="s">
        <v>29</v>
      </c>
      <c r="X18" s="3">
        <f t="shared" si="2"/>
        <v>7.17875</v>
      </c>
    </row>
    <row r="19" spans="1:24" x14ac:dyDescent="0.45">
      <c r="A19" s="5"/>
      <c r="H19" s="3"/>
      <c r="K19" s="5"/>
      <c r="L19" s="3"/>
      <c r="M19" s="1"/>
      <c r="N19" s="1"/>
      <c r="O19" s="1"/>
      <c r="P19" s="3"/>
      <c r="S19" s="5"/>
      <c r="T19" s="3"/>
      <c r="U19" s="1"/>
      <c r="V19" s="1"/>
      <c r="W19" s="1"/>
      <c r="X19" s="3"/>
    </row>
    <row r="20" spans="1:24" x14ac:dyDescent="0.45">
      <c r="A20" s="5" t="s">
        <v>22</v>
      </c>
      <c r="B20" s="1">
        <v>0.13900000000000001</v>
      </c>
      <c r="D20" s="1">
        <v>9.0999999999999998E-2</v>
      </c>
      <c r="E20" s="1">
        <v>7.5999999999999998E-2</v>
      </c>
      <c r="F20" s="1">
        <v>0.104</v>
      </c>
      <c r="G20" s="1">
        <v>2.1000000000000001E-2</v>
      </c>
      <c r="H20" s="3">
        <f t="shared" si="0"/>
        <v>0.10775</v>
      </c>
      <c r="K20" s="5" t="s">
        <v>22</v>
      </c>
      <c r="L20" s="3">
        <v>25.582000000000001</v>
      </c>
      <c r="M20" s="1">
        <v>29.306000000000001</v>
      </c>
      <c r="N20" s="1">
        <v>26.486000000000001</v>
      </c>
      <c r="O20" s="1">
        <v>52.137999999999998</v>
      </c>
      <c r="P20" s="3">
        <f t="shared" ref="P20" si="3">SUM(L20:O20)/4</f>
        <v>33.378</v>
      </c>
      <c r="S20" s="5" t="s">
        <v>22</v>
      </c>
      <c r="T20" s="3">
        <v>25.606999999999999</v>
      </c>
      <c r="U20" s="1">
        <v>33.119999999999997</v>
      </c>
      <c r="V20" s="1">
        <v>29.065999999999999</v>
      </c>
      <c r="W20" s="1">
        <v>54.359000000000002</v>
      </c>
      <c r="X20" s="3">
        <f t="shared" ref="X20" si="4">SUM(T20:W20)/4</f>
        <v>35.537999999999997</v>
      </c>
    </row>
    <row r="21" spans="1:24" x14ac:dyDescent="0.45">
      <c r="A21" s="5" t="s">
        <v>23</v>
      </c>
      <c r="B21" s="1">
        <v>3.44</v>
      </c>
      <c r="D21" s="1">
        <v>7.38</v>
      </c>
      <c r="G21" s="1">
        <v>3.58</v>
      </c>
      <c r="H21" s="3">
        <f>SUM(B21:G21)/4</f>
        <v>3.6</v>
      </c>
      <c r="K21" s="5" t="s">
        <v>23</v>
      </c>
      <c r="L21" s="1" t="s">
        <v>30</v>
      </c>
      <c r="M21" s="1">
        <v>5.52</v>
      </c>
      <c r="N21" s="1"/>
      <c r="O21" s="1"/>
      <c r="P21" s="3">
        <f>SUM(L21:O21)/4</f>
        <v>1.38</v>
      </c>
      <c r="S21" s="5" t="s">
        <v>23</v>
      </c>
      <c r="T21" s="1" t="s">
        <v>29</v>
      </c>
      <c r="U21" s="1">
        <v>143.32</v>
      </c>
      <c r="V21" s="1"/>
      <c r="W21" s="1"/>
      <c r="X21" s="3">
        <f>SUM(T21:W21)/4</f>
        <v>35.83</v>
      </c>
    </row>
    <row r="22" spans="1:24" x14ac:dyDescent="0.45">
      <c r="A22" s="5" t="s">
        <v>24</v>
      </c>
      <c r="B22" s="1">
        <v>14.57</v>
      </c>
      <c r="D22" s="1">
        <v>18.48</v>
      </c>
      <c r="G22" s="1">
        <v>11.41</v>
      </c>
      <c r="H22" s="3">
        <f t="shared" si="0"/>
        <v>11.114999999999998</v>
      </c>
      <c r="K22" s="5" t="s">
        <v>24</v>
      </c>
      <c r="L22" s="1" t="s">
        <v>29</v>
      </c>
      <c r="M22" s="1">
        <v>11.11</v>
      </c>
      <c r="N22" s="1"/>
      <c r="O22" s="1"/>
      <c r="P22" s="3">
        <f t="shared" ref="P22" si="5">SUM(L22:O22)/4</f>
        <v>2.7774999999999999</v>
      </c>
      <c r="S22" s="5" t="s">
        <v>24</v>
      </c>
      <c r="T22" s="1" t="s">
        <v>29</v>
      </c>
      <c r="U22" s="1" t="s">
        <v>31</v>
      </c>
      <c r="V22" s="1"/>
      <c r="W22" s="1"/>
      <c r="X22" s="3">
        <f t="shared" ref="X22" si="6">SUM(T22:W22)/4</f>
        <v>0</v>
      </c>
    </row>
    <row r="23" spans="1:24" x14ac:dyDescent="0.45">
      <c r="A23" s="6"/>
      <c r="H23" s="3"/>
      <c r="K23" s="6"/>
      <c r="L23" s="1"/>
      <c r="M23" s="1"/>
      <c r="N23" s="1"/>
      <c r="O23" s="1"/>
      <c r="P23" s="3"/>
      <c r="S23" s="6"/>
      <c r="T23" s="1"/>
      <c r="U23" s="1"/>
      <c r="V23" s="1"/>
      <c r="W23" s="1"/>
      <c r="X23" s="3"/>
    </row>
    <row r="24" spans="1:24" x14ac:dyDescent="0.45">
      <c r="A24" s="5" t="s">
        <v>25</v>
      </c>
      <c r="B24" s="1">
        <v>4.2999999999999997E-2</v>
      </c>
      <c r="D24" s="1" t="s">
        <v>34</v>
      </c>
      <c r="E24" s="1" t="s">
        <v>45</v>
      </c>
      <c r="G24" s="1">
        <v>2.5</v>
      </c>
      <c r="H24" s="3">
        <f>SUM(B24:G24)/4</f>
        <v>0.63575000000000004</v>
      </c>
      <c r="K24" s="5" t="s">
        <v>25</v>
      </c>
      <c r="L24" s="3">
        <v>2.839</v>
      </c>
      <c r="M24" s="1">
        <v>18.8</v>
      </c>
      <c r="N24" s="1">
        <v>0.9</v>
      </c>
      <c r="O24" s="1">
        <v>2.6</v>
      </c>
      <c r="P24" s="3">
        <f>SUM(L24:O24)/4</f>
        <v>6.2847499999999998</v>
      </c>
      <c r="S24" s="5" t="s">
        <v>25</v>
      </c>
      <c r="T24" s="3">
        <v>4.8849999999999998</v>
      </c>
      <c r="U24" s="1">
        <v>12.5</v>
      </c>
      <c r="V24" s="1" t="s">
        <v>43</v>
      </c>
      <c r="W24">
        <v>33.4</v>
      </c>
      <c r="X24" s="3">
        <f>SUM(T24:W24)/4</f>
        <v>12.696249999999999</v>
      </c>
    </row>
    <row r="25" spans="1:24" x14ac:dyDescent="0.45">
      <c r="A25" s="5" t="s">
        <v>26</v>
      </c>
      <c r="B25" s="1">
        <v>3.9E-2</v>
      </c>
      <c r="D25" s="1" t="s">
        <v>34</v>
      </c>
      <c r="E25" s="1" t="s">
        <v>46</v>
      </c>
      <c r="G25" s="1">
        <v>3.4</v>
      </c>
      <c r="H25" s="3">
        <f>SUM(B25:G25)/4</f>
        <v>0.85975000000000001</v>
      </c>
      <c r="K25" s="5" t="s">
        <v>26</v>
      </c>
      <c r="L25" s="3">
        <v>3.2320000000000002</v>
      </c>
      <c r="M25" s="1">
        <v>4.5999999999999996</v>
      </c>
      <c r="N25" s="1">
        <v>1</v>
      </c>
      <c r="O25" s="1">
        <v>2.7</v>
      </c>
      <c r="P25" s="3">
        <f>SUM(L25:O25)/4</f>
        <v>2.883</v>
      </c>
      <c r="S25" s="5" t="s">
        <v>26</v>
      </c>
      <c r="T25" s="3">
        <v>5.532</v>
      </c>
      <c r="U25" s="1">
        <v>19.3</v>
      </c>
      <c r="V25" s="1" t="s">
        <v>44</v>
      </c>
      <c r="W25">
        <v>37.700000000000003</v>
      </c>
      <c r="X25" s="3">
        <f t="shared" ref="X25" si="7">SUM(T25:W25)/4</f>
        <v>15.633000000000001</v>
      </c>
    </row>
    <row r="26" spans="1:24" x14ac:dyDescent="0.45">
      <c r="A26" s="5" t="s">
        <v>32</v>
      </c>
      <c r="D26" s="1" t="s">
        <v>34</v>
      </c>
      <c r="E26" s="1" t="s">
        <v>46</v>
      </c>
      <c r="G26">
        <v>43.3</v>
      </c>
      <c r="K26" s="5" t="s">
        <v>32</v>
      </c>
      <c r="M26" s="1">
        <v>22.9</v>
      </c>
      <c r="N26" s="1">
        <v>14.2</v>
      </c>
      <c r="O26" s="1">
        <v>34.1</v>
      </c>
      <c r="S26" s="5" t="s">
        <v>32</v>
      </c>
      <c r="U26" s="1" t="s">
        <v>35</v>
      </c>
      <c r="V26" s="1" t="s">
        <v>41</v>
      </c>
      <c r="W26" t="s">
        <v>37</v>
      </c>
    </row>
    <row r="27" spans="1:24" x14ac:dyDescent="0.45">
      <c r="A27" s="5" t="s">
        <v>33</v>
      </c>
      <c r="D27" s="1" t="s">
        <v>34</v>
      </c>
      <c r="E27" s="1" t="s">
        <v>46</v>
      </c>
      <c r="G27" s="1">
        <v>45.6</v>
      </c>
      <c r="K27" s="5" t="s">
        <v>33</v>
      </c>
      <c r="M27" s="1">
        <v>27.5</v>
      </c>
      <c r="N27" s="1">
        <v>17.899999999999999</v>
      </c>
      <c r="O27" s="1">
        <v>45.3</v>
      </c>
      <c r="S27" s="5" t="s">
        <v>33</v>
      </c>
      <c r="U27" s="1" t="s">
        <v>36</v>
      </c>
      <c r="V27" s="1" t="s">
        <v>42</v>
      </c>
      <c r="W27" t="s">
        <v>38</v>
      </c>
    </row>
  </sheetData>
  <mergeCells count="3">
    <mergeCell ref="A1:H1"/>
    <mergeCell ref="K1:P1"/>
    <mergeCell ref="S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Claudia Sonia Guerrero Rodríguez</cp:lastModifiedBy>
  <dcterms:created xsi:type="dcterms:W3CDTF">2024-12-31T15:42:11Z</dcterms:created>
  <dcterms:modified xsi:type="dcterms:W3CDTF">2025-01-03T11:05:37Z</dcterms:modified>
</cp:coreProperties>
</file>