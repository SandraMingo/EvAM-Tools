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laud_rjfw4ak\Documents\GitHub\EvAM-Tools\Claudia\"/>
    </mc:Choice>
  </mc:AlternateContent>
  <xr:revisionPtr revIDLastSave="0" documentId="13_ncr:1_{BFBA30C5-D7AD-4438-9938-6F28E46CF7E6}" xr6:coauthVersionLast="47" xr6:coauthVersionMax="47" xr10:uidLastSave="{00000000-0000-0000-0000-000000000000}"/>
  <bookViews>
    <workbookView xWindow="-98" yWindow="-98" windowWidth="21795" windowHeight="12975" xr2:uid="{FDD89A57-F735-49B2-B076-DD48DEACFA5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" i="1" l="1"/>
  <c r="V25" i="1"/>
  <c r="V24" i="1"/>
  <c r="V22" i="1"/>
  <c r="V21" i="1"/>
  <c r="V20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N24" i="1"/>
  <c r="N25" i="1"/>
  <c r="N22" i="1"/>
  <c r="N20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F21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20" i="1"/>
  <c r="F22" i="1"/>
  <c r="F24" i="1"/>
  <c r="F25" i="1"/>
  <c r="F3" i="1"/>
</calcChain>
</file>

<file path=xl/sharedStrings.xml><?xml version="1.0" encoding="utf-8"?>
<sst xmlns="http://schemas.openxmlformats.org/spreadsheetml/2006/main" count="122" uniqueCount="37">
  <si>
    <t>Claudia</t>
  </si>
  <si>
    <t>Sandra</t>
  </si>
  <si>
    <t>Tania</t>
  </si>
  <si>
    <t>Dani</t>
  </si>
  <si>
    <t>Tiempo medio</t>
  </si>
  <si>
    <t>evam(data, methods = c("MHN"), cores = 1</t>
  </si>
  <si>
    <t>evam(data, methods = c("MHN"), cores = 2</t>
  </si>
  <si>
    <t>evam(data, methods = c("MHN"), cores = 3</t>
  </si>
  <si>
    <t>evam(data, methods = c("MHN"), cores = 4</t>
  </si>
  <si>
    <t>evam(data, methods = c("MHN"), cores = 5</t>
  </si>
  <si>
    <t>evam(data, methods = c("MHN"), cores = 6</t>
  </si>
  <si>
    <t>evam(data, methods = c("MHN"), cores = 7</t>
  </si>
  <si>
    <t>evam(data, methods = c("MHN"), cores = 8</t>
  </si>
  <si>
    <t>evam(data, methods = c("MHN"), cores = 9</t>
  </si>
  <si>
    <t>evam(data, methods = c("MHN"), cores = 10</t>
  </si>
  <si>
    <t>evam(data, methods = c("MHN"), cores = 11</t>
  </si>
  <si>
    <t>evam(data, methods = c("MHN"), cores = 12</t>
  </si>
  <si>
    <t>evam(data, methods = c("MHN"), cores = 13</t>
  </si>
  <si>
    <t>evam(data, methods = c("MHN"), cores = 14</t>
  </si>
  <si>
    <t>evam(data, methods = c("MHN"), cores = 15</t>
  </si>
  <si>
    <t>evam(data, methods = c("MHN"), cores = 16</t>
  </si>
  <si>
    <t>BRCA_ba_s.csv</t>
  </si>
  <si>
    <t>evam(data, methods = c("MHN")</t>
  </si>
  <si>
    <t>Shiny (indicando solo MHN)</t>
  </si>
  <si>
    <t>Shiny (parametros defecto)</t>
  </si>
  <si>
    <t>python cMHN (train)</t>
  </si>
  <si>
    <t>python oMHN (train)</t>
  </si>
  <si>
    <t>LUAD_500.csv</t>
  </si>
  <si>
    <t>LUAD_n12.csv</t>
  </si>
  <si>
    <t>-</t>
  </si>
  <si>
    <t>mas 30 min</t>
  </si>
  <si>
    <t>&gt; 20 minutos</t>
  </si>
  <si>
    <t>python cMHN (lambda)</t>
  </si>
  <si>
    <t>python oMHN (lambda)</t>
  </si>
  <si>
    <t>ERROR</t>
  </si>
  <si>
    <t>4m 2,1</t>
  </si>
  <si>
    <t>4m 17,4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</si>
</sst>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0"/>
  </numFmts>
  <fonts count="4" x14ac:knownFonts="1">
    <font>
      <sz val="11"/>
      <color theme="1"/>
      <name val="Aptos Narrow"/>
      <family val="2"/>
      <scheme val="minor"/>
    </font>
    <font>
      <b/>
      <sz val="14"/>
      <name val="Aptos Narrow"/>
      <family val="2"/>
      <scheme val="minor"/>
    </font>
    <font>
      <sz val="9.5"/>
      <color theme="4"/>
      <name val="Consolas"/>
      <family val="3"/>
    </font>
    <font>
      <sz val="11"/>
      <color theme="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EB152-16CF-4E65-B7F1-9FCE82C9BF13}">
  <dimension ref="A1:V27"/>
  <sheetViews>
    <sheetView tabSelected="1" topLeftCell="A6" zoomScale="108" zoomScaleNormal="152" workbookViewId="0">
      <selection activeCell="R16" sqref="R16"/>
    </sheetView>
  </sheetViews>
  <sheetFormatPr baseColWidth="10" defaultRowHeight="14.25" x14ac:dyDescent="0.45"/>
  <cols>
    <col min="1" max="1" width="39.3984375" customWidth="1"/>
    <col min="2" max="5" width="10.6640625" style="1"/>
    <col min="6" max="6" width="12.53125" customWidth="1"/>
    <col min="9" max="9" width="39.19921875" customWidth="1"/>
    <col min="13" max="13" width="9.53125" customWidth="1"/>
    <col min="14" max="14" width="12.46484375" customWidth="1"/>
    <col min="17" max="17" width="39.46484375" customWidth="1"/>
    <col min="22" max="22" width="25.46484375" customWidth="1"/>
  </cols>
  <sheetData>
    <row r="1" spans="1:22" ht="18" x14ac:dyDescent="0.55000000000000004">
      <c r="A1" s="7" t="s">
        <v>21</v>
      </c>
      <c r="B1" s="7"/>
      <c r="C1" s="7"/>
      <c r="D1" s="7"/>
      <c r="E1" s="7"/>
      <c r="F1" s="7"/>
      <c r="I1" s="7" t="s">
        <v>27</v>
      </c>
      <c r="J1" s="7"/>
      <c r="K1" s="7"/>
      <c r="L1" s="7"/>
      <c r="M1" s="7"/>
      <c r="N1" s="7"/>
      <c r="Q1" s="7" t="s">
        <v>28</v>
      </c>
      <c r="R1" s="7"/>
      <c r="S1" s="7"/>
      <c r="T1" s="7"/>
      <c r="U1" s="7"/>
      <c r="V1" s="7"/>
    </row>
    <row r="2" spans="1:22" x14ac:dyDescent="0.45">
      <c r="A2" s="1"/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I2" s="1"/>
      <c r="J2" s="1" t="s">
        <v>0</v>
      </c>
      <c r="K2" s="1" t="s">
        <v>1</v>
      </c>
      <c r="L2" s="1" t="s">
        <v>2</v>
      </c>
      <c r="M2" s="1" t="s">
        <v>3</v>
      </c>
      <c r="N2" s="1" t="s">
        <v>4</v>
      </c>
      <c r="Q2" s="1"/>
      <c r="R2" s="1" t="s">
        <v>0</v>
      </c>
      <c r="S2" s="1" t="s">
        <v>1</v>
      </c>
      <c r="T2" s="1" t="s">
        <v>2</v>
      </c>
      <c r="U2" s="1" t="s">
        <v>3</v>
      </c>
      <c r="V2" s="1" t="s">
        <v>4</v>
      </c>
    </row>
    <row r="3" spans="1:22" x14ac:dyDescent="0.45">
      <c r="A3" s="4" t="s">
        <v>5</v>
      </c>
      <c r="B3" s="2">
        <v>1.2190000000000001</v>
      </c>
      <c r="C3" s="1">
        <v>0.23200000000000001</v>
      </c>
      <c r="F3" s="3">
        <f>SUM(B3:E3)/4</f>
        <v>0.36275000000000002</v>
      </c>
      <c r="I3" s="4" t="s">
        <v>5</v>
      </c>
      <c r="J3" s="3">
        <v>52.161999999999999</v>
      </c>
      <c r="K3" s="1">
        <v>28.253</v>
      </c>
      <c r="L3" s="1"/>
      <c r="M3" s="1"/>
      <c r="N3" s="3">
        <f>SUM(J3:M3)/4</f>
        <v>20.103749999999998</v>
      </c>
      <c r="Q3" s="4" t="s">
        <v>5</v>
      </c>
      <c r="R3" s="3">
        <v>69.486000000000004</v>
      </c>
      <c r="S3" s="1">
        <v>36.085999999999999</v>
      </c>
      <c r="T3" s="1"/>
      <c r="U3" s="1"/>
      <c r="V3" s="3">
        <f>SUM(R3:U3)/4</f>
        <v>26.393000000000001</v>
      </c>
    </row>
    <row r="4" spans="1:22" x14ac:dyDescent="0.45">
      <c r="A4" s="4" t="s">
        <v>6</v>
      </c>
      <c r="B4" s="1">
        <v>0.122</v>
      </c>
      <c r="C4" s="1">
        <v>0.129</v>
      </c>
      <c r="F4" s="3">
        <f t="shared" ref="F4:F25" si="0">SUM(B4:E4)/4</f>
        <v>6.275E-2</v>
      </c>
      <c r="I4" s="4" t="s">
        <v>6</v>
      </c>
      <c r="J4" s="3">
        <v>25.722000000000001</v>
      </c>
      <c r="K4" s="1">
        <v>28.49</v>
      </c>
      <c r="L4" s="1"/>
      <c r="M4" s="1"/>
      <c r="N4" s="3">
        <f t="shared" ref="N4:N18" si="1">SUM(J4:M4)/4</f>
        <v>13.553000000000001</v>
      </c>
      <c r="Q4" s="4" t="s">
        <v>6</v>
      </c>
      <c r="R4" s="3">
        <v>27.157</v>
      </c>
      <c r="S4" s="1">
        <v>30.312999999999999</v>
      </c>
      <c r="T4" s="1"/>
      <c r="U4" s="1"/>
      <c r="V4" s="3">
        <f t="shared" ref="V4:V18" si="2">SUM(R4:U4)/4</f>
        <v>14.3675</v>
      </c>
    </row>
    <row r="5" spans="1:22" x14ac:dyDescent="0.45">
      <c r="A5" s="5" t="s">
        <v>7</v>
      </c>
      <c r="B5" s="1">
        <v>5.6000000000000001E-2</v>
      </c>
      <c r="C5" s="1">
        <v>0.111</v>
      </c>
      <c r="F5" s="3">
        <f t="shared" si="0"/>
        <v>4.1750000000000002E-2</v>
      </c>
      <c r="I5" s="5" t="s">
        <v>7</v>
      </c>
      <c r="J5" s="3">
        <v>24.885999999999999</v>
      </c>
      <c r="K5" s="1">
        <v>26.934000000000001</v>
      </c>
      <c r="L5" s="1"/>
      <c r="M5" s="1"/>
      <c r="N5" s="3">
        <f t="shared" si="1"/>
        <v>12.955</v>
      </c>
      <c r="Q5" s="5" t="s">
        <v>7</v>
      </c>
      <c r="R5" s="3">
        <v>25.812000000000001</v>
      </c>
      <c r="S5" s="1">
        <v>30.536999999999999</v>
      </c>
      <c r="T5" s="1"/>
      <c r="U5" s="1"/>
      <c r="V5" s="3">
        <f t="shared" si="2"/>
        <v>14.087250000000001</v>
      </c>
    </row>
    <row r="6" spans="1:22" x14ac:dyDescent="0.45">
      <c r="A6" s="5" t="s">
        <v>8</v>
      </c>
      <c r="B6" s="1">
        <v>7.1999999999999995E-2</v>
      </c>
      <c r="C6" s="1">
        <v>9.9000000000000005E-2</v>
      </c>
      <c r="F6" s="3">
        <f t="shared" si="0"/>
        <v>4.2749999999999996E-2</v>
      </c>
      <c r="I6" s="5" t="s">
        <v>8</v>
      </c>
      <c r="J6" s="3">
        <v>21.838999999999999</v>
      </c>
      <c r="K6" s="1">
        <v>27.312999999999999</v>
      </c>
      <c r="L6" s="1"/>
      <c r="M6" s="1"/>
      <c r="N6" s="3">
        <f t="shared" si="1"/>
        <v>12.288</v>
      </c>
      <c r="Q6" s="5" t="s">
        <v>8</v>
      </c>
      <c r="R6" s="3">
        <v>24.166</v>
      </c>
      <c r="S6" s="1">
        <v>30.887</v>
      </c>
      <c r="T6" s="1"/>
      <c r="U6" s="1"/>
      <c r="V6" s="3">
        <f t="shared" si="2"/>
        <v>13.763249999999999</v>
      </c>
    </row>
    <row r="7" spans="1:22" x14ac:dyDescent="0.45">
      <c r="A7" s="5" t="s">
        <v>9</v>
      </c>
      <c r="B7" s="1">
        <v>7.9000000000000001E-2</v>
      </c>
      <c r="C7" s="1">
        <v>0.08</v>
      </c>
      <c r="F7" s="3">
        <f t="shared" si="0"/>
        <v>3.9750000000000001E-2</v>
      </c>
      <c r="I7" s="5" t="s">
        <v>9</v>
      </c>
      <c r="J7" s="3">
        <v>23.576000000000001</v>
      </c>
      <c r="K7" s="1">
        <v>28.965</v>
      </c>
      <c r="L7" s="1"/>
      <c r="M7" s="1"/>
      <c r="N7" s="3">
        <f t="shared" si="1"/>
        <v>13.135249999999999</v>
      </c>
      <c r="Q7" s="5" t="s">
        <v>9</v>
      </c>
      <c r="R7" s="3">
        <v>26.861000000000001</v>
      </c>
      <c r="S7" s="1">
        <v>29.256</v>
      </c>
      <c r="T7" s="1"/>
      <c r="U7" s="1"/>
      <c r="V7" s="3">
        <f t="shared" si="2"/>
        <v>14.029250000000001</v>
      </c>
    </row>
    <row r="8" spans="1:22" x14ac:dyDescent="0.45">
      <c r="A8" s="5" t="s">
        <v>10</v>
      </c>
      <c r="B8" s="1">
        <v>0.105</v>
      </c>
      <c r="C8" s="1">
        <v>8.5999999999999993E-2</v>
      </c>
      <c r="F8" s="3">
        <f t="shared" si="0"/>
        <v>4.7750000000000001E-2</v>
      </c>
      <c r="I8" s="5" t="s">
        <v>10</v>
      </c>
      <c r="J8" s="3">
        <v>20.138999999999999</v>
      </c>
      <c r="K8" s="1">
        <v>26.577000000000002</v>
      </c>
      <c r="L8" s="1"/>
      <c r="M8" s="1"/>
      <c r="N8" s="3">
        <f t="shared" si="1"/>
        <v>11.679</v>
      </c>
      <c r="Q8" s="5" t="s">
        <v>10</v>
      </c>
      <c r="R8" s="3">
        <v>26.922999999999998</v>
      </c>
      <c r="S8" s="1">
        <v>32.151000000000003</v>
      </c>
      <c r="T8" s="1"/>
      <c r="U8" s="1"/>
      <c r="V8" s="3">
        <f t="shared" si="2"/>
        <v>14.7685</v>
      </c>
    </row>
    <row r="9" spans="1:22" x14ac:dyDescent="0.45">
      <c r="A9" s="5" t="s">
        <v>11</v>
      </c>
      <c r="B9" s="1">
        <v>0.10100000000000001</v>
      </c>
      <c r="C9" s="1">
        <v>9.2999999999999999E-2</v>
      </c>
      <c r="F9" s="3">
        <f t="shared" si="0"/>
        <v>4.8500000000000001E-2</v>
      </c>
      <c r="I9" s="5" t="s">
        <v>11</v>
      </c>
      <c r="J9" s="3">
        <v>25.446000000000002</v>
      </c>
      <c r="K9" s="1">
        <v>26.625</v>
      </c>
      <c r="L9" s="1"/>
      <c r="M9" s="1"/>
      <c r="N9" s="3">
        <f t="shared" si="1"/>
        <v>13.017749999999999</v>
      </c>
      <c r="Q9" s="5" t="s">
        <v>11</v>
      </c>
      <c r="R9" s="3">
        <v>27.869</v>
      </c>
      <c r="S9" s="1">
        <v>39.572000000000003</v>
      </c>
      <c r="T9" s="1"/>
      <c r="U9" s="1"/>
      <c r="V9" s="3">
        <f t="shared" si="2"/>
        <v>16.860250000000001</v>
      </c>
    </row>
    <row r="10" spans="1:22" x14ac:dyDescent="0.45">
      <c r="A10" s="5" t="s">
        <v>12</v>
      </c>
      <c r="B10" s="1">
        <v>6.7000000000000004E-2</v>
      </c>
      <c r="C10" s="1">
        <v>7.3999999999999996E-2</v>
      </c>
      <c r="F10" s="3">
        <f t="shared" si="0"/>
        <v>3.5250000000000004E-2</v>
      </c>
      <c r="I10" s="5" t="s">
        <v>12</v>
      </c>
      <c r="J10" s="3">
        <v>24.556999999999999</v>
      </c>
      <c r="K10" s="1">
        <v>27.991</v>
      </c>
      <c r="L10" s="1"/>
      <c r="M10" s="1"/>
      <c r="N10" s="3">
        <f t="shared" si="1"/>
        <v>13.137</v>
      </c>
      <c r="Q10" s="5" t="s">
        <v>12</v>
      </c>
      <c r="R10" s="3">
        <v>27.632000000000001</v>
      </c>
      <c r="S10" s="1">
        <v>31.692</v>
      </c>
      <c r="T10" s="1"/>
      <c r="U10" s="1"/>
      <c r="V10" s="3">
        <f t="shared" si="2"/>
        <v>14.831</v>
      </c>
    </row>
    <row r="11" spans="1:22" x14ac:dyDescent="0.45">
      <c r="A11" s="5" t="s">
        <v>13</v>
      </c>
      <c r="B11" s="1">
        <v>0.115</v>
      </c>
      <c r="C11" s="1" t="s">
        <v>29</v>
      </c>
      <c r="F11" s="3">
        <f t="shared" si="0"/>
        <v>2.8750000000000001E-2</v>
      </c>
      <c r="I11" s="5" t="s">
        <v>13</v>
      </c>
      <c r="J11" s="3">
        <v>24.481000000000002</v>
      </c>
      <c r="K11" s="1" t="s">
        <v>29</v>
      </c>
      <c r="L11" s="1"/>
      <c r="M11" s="1"/>
      <c r="N11" s="3">
        <f t="shared" si="1"/>
        <v>6.1202500000000004</v>
      </c>
      <c r="Q11" s="5" t="s">
        <v>13</v>
      </c>
      <c r="R11" s="3">
        <v>28.274000000000001</v>
      </c>
      <c r="S11" s="1" t="s">
        <v>29</v>
      </c>
      <c r="T11" s="1"/>
      <c r="U11" s="1"/>
      <c r="V11" s="3">
        <f t="shared" si="2"/>
        <v>7.0685000000000002</v>
      </c>
    </row>
    <row r="12" spans="1:22" x14ac:dyDescent="0.45">
      <c r="A12" s="5" t="s">
        <v>14</v>
      </c>
      <c r="B12" s="1">
        <v>7.2999999999999995E-2</v>
      </c>
      <c r="C12" s="1" t="s">
        <v>29</v>
      </c>
      <c r="F12" s="3">
        <f t="shared" si="0"/>
        <v>1.8249999999999999E-2</v>
      </c>
      <c r="I12" s="5" t="s">
        <v>14</v>
      </c>
      <c r="J12" s="3">
        <v>25.128</v>
      </c>
      <c r="K12" s="1" t="s">
        <v>29</v>
      </c>
      <c r="L12" s="1"/>
      <c r="M12" s="1"/>
      <c r="N12" s="3">
        <f t="shared" si="1"/>
        <v>6.282</v>
      </c>
      <c r="Q12" s="5" t="s">
        <v>14</v>
      </c>
      <c r="R12" s="3">
        <v>25.454000000000001</v>
      </c>
      <c r="S12" s="1" t="s">
        <v>29</v>
      </c>
      <c r="T12" s="1"/>
      <c r="U12" s="1"/>
      <c r="V12" s="3">
        <f t="shared" si="2"/>
        <v>6.3635000000000002</v>
      </c>
    </row>
    <row r="13" spans="1:22" x14ac:dyDescent="0.45">
      <c r="A13" s="5" t="s">
        <v>15</v>
      </c>
      <c r="B13" s="1">
        <v>0.11600000000000001</v>
      </c>
      <c r="C13" s="1" t="s">
        <v>29</v>
      </c>
      <c r="F13" s="3">
        <f t="shared" si="0"/>
        <v>2.9000000000000001E-2</v>
      </c>
      <c r="I13" s="5" t="s">
        <v>15</v>
      </c>
      <c r="J13" s="3">
        <v>23.295000000000002</v>
      </c>
      <c r="K13" s="1" t="s">
        <v>29</v>
      </c>
      <c r="L13" s="1"/>
      <c r="M13" s="1"/>
      <c r="N13" s="3">
        <f t="shared" si="1"/>
        <v>5.8237500000000004</v>
      </c>
      <c r="Q13" s="5" t="s">
        <v>15</v>
      </c>
      <c r="R13" s="3">
        <v>28.919</v>
      </c>
      <c r="S13" s="1" t="s">
        <v>29</v>
      </c>
      <c r="T13" s="1"/>
      <c r="U13" s="1"/>
      <c r="V13" s="3">
        <f t="shared" si="2"/>
        <v>7.2297500000000001</v>
      </c>
    </row>
    <row r="14" spans="1:22" x14ac:dyDescent="0.45">
      <c r="A14" s="5" t="s">
        <v>16</v>
      </c>
      <c r="B14" s="1">
        <v>0.11</v>
      </c>
      <c r="C14" s="1" t="s">
        <v>29</v>
      </c>
      <c r="F14" s="3">
        <f t="shared" si="0"/>
        <v>2.75E-2</v>
      </c>
      <c r="I14" s="5" t="s">
        <v>16</v>
      </c>
      <c r="J14" s="3">
        <v>24.623999999999999</v>
      </c>
      <c r="K14" s="1" t="s">
        <v>29</v>
      </c>
      <c r="L14" s="1"/>
      <c r="M14" s="1"/>
      <c r="N14" s="3">
        <f t="shared" si="1"/>
        <v>6.1559999999999997</v>
      </c>
      <c r="Q14" s="5" t="s">
        <v>16</v>
      </c>
      <c r="R14" s="3">
        <v>28.507000000000001</v>
      </c>
      <c r="S14" s="1" t="s">
        <v>29</v>
      </c>
      <c r="T14" s="1"/>
      <c r="U14" s="1"/>
      <c r="V14" s="3">
        <f t="shared" si="2"/>
        <v>7.1267500000000004</v>
      </c>
    </row>
    <row r="15" spans="1:22" x14ac:dyDescent="0.45">
      <c r="A15" s="5" t="s">
        <v>17</v>
      </c>
      <c r="B15" s="1">
        <v>0.112</v>
      </c>
      <c r="C15" s="1" t="s">
        <v>29</v>
      </c>
      <c r="F15" s="3">
        <f t="shared" si="0"/>
        <v>2.8000000000000001E-2</v>
      </c>
      <c r="I15" s="5" t="s">
        <v>17</v>
      </c>
      <c r="J15" s="3">
        <v>25.433</v>
      </c>
      <c r="K15" s="1" t="s">
        <v>29</v>
      </c>
      <c r="L15" s="1"/>
      <c r="M15" s="1"/>
      <c r="N15" s="3">
        <f t="shared" si="1"/>
        <v>6.35825</v>
      </c>
      <c r="Q15" s="5" t="s">
        <v>17</v>
      </c>
      <c r="R15" s="3">
        <v>26.302</v>
      </c>
      <c r="S15" s="1" t="s">
        <v>29</v>
      </c>
      <c r="T15" s="1"/>
      <c r="U15" s="1"/>
      <c r="V15" s="3">
        <f t="shared" si="2"/>
        <v>6.5754999999999999</v>
      </c>
    </row>
    <row r="16" spans="1:22" x14ac:dyDescent="0.45">
      <c r="A16" s="5" t="s">
        <v>18</v>
      </c>
      <c r="B16" s="1">
        <v>0.12</v>
      </c>
      <c r="C16" s="1" t="s">
        <v>29</v>
      </c>
      <c r="F16" s="3">
        <f t="shared" si="0"/>
        <v>0.03</v>
      </c>
      <c r="I16" s="5" t="s">
        <v>18</v>
      </c>
      <c r="J16" s="3">
        <v>21.591999999999999</v>
      </c>
      <c r="K16" s="1" t="s">
        <v>29</v>
      </c>
      <c r="L16" s="1"/>
      <c r="M16" s="1"/>
      <c r="N16" s="3">
        <f t="shared" si="1"/>
        <v>5.3979999999999997</v>
      </c>
      <c r="Q16" s="5" t="s">
        <v>18</v>
      </c>
      <c r="R16" s="3">
        <v>28.977</v>
      </c>
      <c r="S16" s="1" t="s">
        <v>29</v>
      </c>
      <c r="T16" s="1"/>
      <c r="U16" s="1"/>
      <c r="V16" s="3">
        <f t="shared" si="2"/>
        <v>7.2442500000000001</v>
      </c>
    </row>
    <row r="17" spans="1:22" x14ac:dyDescent="0.45">
      <c r="A17" s="5" t="s">
        <v>19</v>
      </c>
      <c r="B17" s="1">
        <v>7.0000000000000007E-2</v>
      </c>
      <c r="C17" s="1" t="s">
        <v>29</v>
      </c>
      <c r="F17" s="3">
        <f t="shared" si="0"/>
        <v>1.7500000000000002E-2</v>
      </c>
      <c r="I17" s="5" t="s">
        <v>19</v>
      </c>
      <c r="J17" s="3">
        <v>21.614999999999998</v>
      </c>
      <c r="K17" s="1" t="s">
        <v>29</v>
      </c>
      <c r="L17" s="1"/>
      <c r="M17" s="1"/>
      <c r="N17" s="3">
        <f t="shared" si="1"/>
        <v>5.4037499999999996</v>
      </c>
      <c r="Q17" s="5" t="s">
        <v>19</v>
      </c>
      <c r="R17" s="3">
        <v>27.704000000000001</v>
      </c>
      <c r="S17" s="1" t="s">
        <v>29</v>
      </c>
      <c r="T17" s="1"/>
      <c r="U17" s="1"/>
      <c r="V17" s="3">
        <f t="shared" si="2"/>
        <v>6.9260000000000002</v>
      </c>
    </row>
    <row r="18" spans="1:22" x14ac:dyDescent="0.45">
      <c r="A18" s="5" t="s">
        <v>20</v>
      </c>
      <c r="B18" s="1">
        <v>0.11600000000000001</v>
      </c>
      <c r="C18" s="1" t="s">
        <v>29</v>
      </c>
      <c r="F18" s="3">
        <f t="shared" si="0"/>
        <v>2.9000000000000001E-2</v>
      </c>
      <c r="I18" s="5" t="s">
        <v>20</v>
      </c>
      <c r="J18" s="3">
        <v>23.99</v>
      </c>
      <c r="K18" s="1" t="s">
        <v>29</v>
      </c>
      <c r="L18" s="1"/>
      <c r="M18" s="1"/>
      <c r="N18" s="3">
        <f t="shared" si="1"/>
        <v>5.9974999999999996</v>
      </c>
      <c r="Q18" s="5" t="s">
        <v>20</v>
      </c>
      <c r="R18" s="3">
        <v>28.715</v>
      </c>
      <c r="S18" s="1" t="s">
        <v>29</v>
      </c>
      <c r="T18" s="1"/>
      <c r="U18" s="1"/>
      <c r="V18" s="3">
        <f t="shared" si="2"/>
        <v>7.17875</v>
      </c>
    </row>
    <row r="19" spans="1:22" x14ac:dyDescent="0.45">
      <c r="A19" s="5"/>
      <c r="F19" s="3"/>
      <c r="I19" s="5"/>
      <c r="J19" s="3"/>
      <c r="K19" s="1"/>
      <c r="L19" s="1"/>
      <c r="M19" s="1"/>
      <c r="N19" s="3"/>
      <c r="Q19" s="5"/>
      <c r="R19" s="3"/>
      <c r="S19" s="1"/>
      <c r="T19" s="1"/>
      <c r="U19" s="1"/>
      <c r="V19" s="3"/>
    </row>
    <row r="20" spans="1:22" x14ac:dyDescent="0.45">
      <c r="A20" s="5" t="s">
        <v>22</v>
      </c>
      <c r="B20" s="1">
        <v>0.13900000000000001</v>
      </c>
      <c r="C20" s="1">
        <v>9.0999999999999998E-2</v>
      </c>
      <c r="F20" s="3">
        <f t="shared" si="0"/>
        <v>5.7500000000000002E-2</v>
      </c>
      <c r="I20" s="5" t="s">
        <v>22</v>
      </c>
      <c r="J20" s="3">
        <v>25.582000000000001</v>
      </c>
      <c r="K20" s="1">
        <v>29.306000000000001</v>
      </c>
      <c r="L20" s="1"/>
      <c r="M20" s="1"/>
      <c r="N20" s="3">
        <f t="shared" ref="N20" si="3">SUM(J20:M20)/4</f>
        <v>13.722000000000001</v>
      </c>
      <c r="Q20" s="5" t="s">
        <v>22</v>
      </c>
      <c r="R20" s="3">
        <v>25.606999999999999</v>
      </c>
      <c r="S20" s="1">
        <v>33.119999999999997</v>
      </c>
      <c r="T20" s="1"/>
      <c r="U20" s="1"/>
      <c r="V20" s="3">
        <f t="shared" ref="V20" si="4">SUM(R20:U20)/4</f>
        <v>14.681749999999999</v>
      </c>
    </row>
    <row r="21" spans="1:22" x14ac:dyDescent="0.45">
      <c r="A21" s="5" t="s">
        <v>23</v>
      </c>
      <c r="B21" s="1">
        <v>3.44</v>
      </c>
      <c r="C21" s="1">
        <v>7.38</v>
      </c>
      <c r="F21" s="3">
        <f>SUM(B21:E21)/4</f>
        <v>2.7050000000000001</v>
      </c>
      <c r="I21" s="5" t="s">
        <v>23</v>
      </c>
      <c r="J21" s="1" t="s">
        <v>30</v>
      </c>
      <c r="K21" s="1">
        <v>5.52</v>
      </c>
      <c r="L21" s="1"/>
      <c r="M21" s="1"/>
      <c r="N21" s="3">
        <f>SUM(J21:M21)/4</f>
        <v>1.38</v>
      </c>
      <c r="Q21" s="5" t="s">
        <v>23</v>
      </c>
      <c r="R21" s="1" t="s">
        <v>29</v>
      </c>
      <c r="S21" s="1">
        <v>143.32</v>
      </c>
      <c r="T21" s="1"/>
      <c r="U21" s="1"/>
      <c r="V21" s="3">
        <f>SUM(R21:U21)/4</f>
        <v>35.83</v>
      </c>
    </row>
    <row r="22" spans="1:22" x14ac:dyDescent="0.45">
      <c r="A22" s="5" t="s">
        <v>24</v>
      </c>
      <c r="B22" s="1">
        <v>14.57</v>
      </c>
      <c r="C22" s="1">
        <v>18.48</v>
      </c>
      <c r="F22" s="3">
        <f t="shared" si="0"/>
        <v>8.2624999999999993</v>
      </c>
      <c r="I22" s="5" t="s">
        <v>24</v>
      </c>
      <c r="J22" s="1" t="s">
        <v>29</v>
      </c>
      <c r="K22" s="1">
        <v>11.11</v>
      </c>
      <c r="L22" s="1"/>
      <c r="M22" s="1"/>
      <c r="N22" s="3">
        <f t="shared" ref="N22" si="5">SUM(J22:M22)/4</f>
        <v>2.7774999999999999</v>
      </c>
      <c r="Q22" s="5" t="s">
        <v>24</v>
      </c>
      <c r="R22" s="1" t="s">
        <v>29</v>
      </c>
      <c r="S22" s="1" t="s">
        <v>31</v>
      </c>
      <c r="T22" s="1"/>
      <c r="U22" s="1"/>
      <c r="V22" s="3">
        <f t="shared" ref="V22" si="6">SUM(R22:U22)/4</f>
        <v>0</v>
      </c>
    </row>
    <row r="23" spans="1:22" x14ac:dyDescent="0.45">
      <c r="A23" s="6"/>
      <c r="F23" s="3"/>
      <c r="I23" s="6"/>
      <c r="J23" s="1"/>
      <c r="K23" s="1"/>
      <c r="L23" s="1"/>
      <c r="M23" s="1"/>
      <c r="N23" s="3"/>
      <c r="Q23" s="6"/>
      <c r="R23" s="1"/>
      <c r="S23" s="1"/>
      <c r="T23" s="1"/>
      <c r="U23" s="1"/>
      <c r="V23" s="3"/>
    </row>
    <row r="24" spans="1:22" x14ac:dyDescent="0.45">
      <c r="A24" s="5" t="s">
        <v>25</v>
      </c>
      <c r="B24" s="1">
        <v>4.2999999999999997E-2</v>
      </c>
      <c r="C24" s="1" t="s">
        <v>34</v>
      </c>
      <c r="F24" s="3">
        <f t="shared" si="0"/>
        <v>1.0749999999999999E-2</v>
      </c>
      <c r="I24" s="5" t="s">
        <v>25</v>
      </c>
      <c r="J24" s="3">
        <v>2.839</v>
      </c>
      <c r="K24" s="1">
        <v>18.8</v>
      </c>
      <c r="L24" s="1"/>
      <c r="M24" s="1"/>
      <c r="N24" s="3">
        <f>SUM(J24:M24)/4</f>
        <v>5.4097499999999998</v>
      </c>
      <c r="Q24" s="5" t="s">
        <v>25</v>
      </c>
      <c r="R24" s="3">
        <v>4.8849999999999998</v>
      </c>
      <c r="S24" s="1">
        <v>12.5</v>
      </c>
      <c r="T24" s="1"/>
      <c r="U24" s="1"/>
      <c r="V24" s="3">
        <f>SUM(R24:U24)/4</f>
        <v>4.3462499999999995</v>
      </c>
    </row>
    <row r="25" spans="1:22" x14ac:dyDescent="0.45">
      <c r="A25" s="5" t="s">
        <v>26</v>
      </c>
      <c r="B25" s="1">
        <v>3.9E-2</v>
      </c>
      <c r="C25" s="1" t="s">
        <v>34</v>
      </c>
      <c r="F25" s="3">
        <f t="shared" si="0"/>
        <v>9.75E-3</v>
      </c>
      <c r="I25" s="5" t="s">
        <v>26</v>
      </c>
      <c r="J25" s="3">
        <v>3.2320000000000002</v>
      </c>
      <c r="K25" s="1">
        <v>4.5999999999999996</v>
      </c>
      <c r="L25" s="1"/>
      <c r="M25" s="1"/>
      <c r="N25" s="3">
        <f t="shared" ref="N25" si="7">SUM(J25:M25)/4</f>
        <v>1.958</v>
      </c>
      <c r="Q25" s="5" t="s">
        <v>26</v>
      </c>
      <c r="R25" s="3">
        <v>5.532</v>
      </c>
      <c r="S25" s="1">
        <v>19.3</v>
      </c>
      <c r="T25" s="1"/>
      <c r="U25" s="1"/>
      <c r="V25" s="3">
        <f t="shared" ref="V25" si="8">SUM(R25:U25)/4</f>
        <v>6.2080000000000002</v>
      </c>
    </row>
    <row r="26" spans="1:22" x14ac:dyDescent="0.45">
      <c r="A26" s="5" t="s">
        <v>32</v>
      </c>
      <c r="C26" s="1" t="s">
        <v>34</v>
      </c>
      <c r="I26" s="5" t="s">
        <v>32</v>
      </c>
      <c r="K26" s="1">
        <v>22.9</v>
      </c>
      <c r="Q26" s="5" t="s">
        <v>32</v>
      </c>
      <c r="S26" s="1" t="s">
        <v>35</v>
      </c>
    </row>
    <row r="27" spans="1:22" x14ac:dyDescent="0.45">
      <c r="A27" s="5" t="s">
        <v>33</v>
      </c>
      <c r="C27" s="1" t="s">
        <v>34</v>
      </c>
      <c r="I27" s="5" t="s">
        <v>33</v>
      </c>
      <c r="K27" s="1">
        <v>27.5</v>
      </c>
      <c r="Q27" s="5" t="s">
        <v>33</v>
      </c>
      <c r="S27" s="1" t="s">
        <v>36</v>
      </c>
    </row>
  </sheetData>
  <mergeCells count="3">
    <mergeCell ref="A1:F1"/>
    <mergeCell ref="I1:N1"/>
    <mergeCell ref="Q1:V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Sonia Guerrero Rodríguez</dc:creator>
  <cp:lastModifiedBy>Claudia Sonia Guerrero Rodríguez</cp:lastModifiedBy>
  <dcterms:created xsi:type="dcterms:W3CDTF">2024-12-31T15:42:11Z</dcterms:created>
  <dcterms:modified xsi:type="dcterms:W3CDTF">2025-01-02T16:28:34Z</dcterms:modified>
</cp:coreProperties>
</file>